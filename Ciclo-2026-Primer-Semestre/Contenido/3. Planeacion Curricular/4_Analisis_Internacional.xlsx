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ntes" sheetId="1" r:id="rId4"/>
    <sheet state="visible" name="Analisis de Contenido" sheetId="2" r:id="rId5"/>
    <sheet state="visible" name="Analisis Tecnologico" sheetId="3" r:id="rId6"/>
    <sheet state="hidden" name="Metadata" sheetId="4" r:id="rId7"/>
  </sheets>
  <definedNames/>
  <calcPr/>
  <extLst>
    <ext uri="GoogleSheetsCustomDataVersion2">
      <go:sheetsCustomData xmlns:go="http://customooxmlschemas.google.com/" r:id="rId8" roundtripDataChecksum="rE5sZPI6TngZ8dYA6I69ZR8Ek0scRc+mdo5bBQmKQPM="/>
    </ext>
  </extLst>
</workbook>
</file>

<file path=xl/sharedStrings.xml><?xml version="1.0" encoding="utf-8"?>
<sst xmlns="http://schemas.openxmlformats.org/spreadsheetml/2006/main" count="410" uniqueCount="217">
  <si>
    <t>Identificación de referentes internacionales</t>
  </si>
  <si>
    <t>Nombre del Curso</t>
  </si>
  <si>
    <t>777 - Organización de Lenguajes y Compiladores 1</t>
  </si>
  <si>
    <t>Semestre que aplica</t>
  </si>
  <si>
    <t>Segundo Semestre 2026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</si>
  <si>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</si>
  <si>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</si>
  <si>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</si>
  <si>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Stanford</t>
  </si>
  <si>
    <t>Pais</t>
  </si>
  <si>
    <t>USA</t>
  </si>
  <si>
    <t>CS143: Compilers</t>
  </si>
  <si>
    <t>Fuente de Información</t>
  </si>
  <si>
    <t>https://web.stanford.edu/class/cs143/</t>
  </si>
  <si>
    <t>No.</t>
  </si>
  <si>
    <t>Contenido de la Universidad Referente</t>
  </si>
  <si>
    <t>Lexical Analysis</t>
  </si>
  <si>
    <t>Regular Expressions</t>
  </si>
  <si>
    <t>Finite Automata (DFA/NFA)</t>
  </si>
  <si>
    <t>Syntax Analysis (Parsing)</t>
  </si>
  <si>
    <t>Context-Free Grammars</t>
  </si>
  <si>
    <t>LL Parsing</t>
  </si>
  <si>
    <t>LR Parsing</t>
  </si>
  <si>
    <t>Abstract Syntax Trees (AST)</t>
  </si>
  <si>
    <t>Semantic Analysis</t>
  </si>
  <si>
    <t>Intermediate Code Generation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</si>
  <si>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</si>
  <si>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</si>
  <si>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</si>
  <si>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ABET – Computing Accreditation Criteria</t>
  </si>
  <si>
    <t>Sección , Capitulo , etc,</t>
  </si>
  <si>
    <t>Criterion 3: Student Outcomes
Criterion 5: Curriculum</t>
  </si>
  <si>
    <t>Funte de Información</t>
  </si>
  <si>
    <t>https://www.abet.org/wp-content/uploads/2024/11/2025-2026_CAC_Criteria.pdf</t>
  </si>
  <si>
    <t>Contenido del Estandar</t>
  </si>
  <si>
    <t>Analizar problemas complejos de computación y aplicar principios de la disciplina para identificar soluciones.</t>
  </si>
  <si>
    <t>Diseñar, implementar y evaluar soluciones computacionales que cumplan con requisitos establecidos.</t>
  </si>
  <si>
    <t>Comunicarse efectivamente en diferentes contextos profesionales.</t>
  </si>
  <si>
    <t>Reconocer responsabilidades profesionales y tomar decisiones éticas en computación.</t>
  </si>
  <si>
    <t>Trabajar eficazmente como miembro o líder de un equipo.</t>
  </si>
  <si>
    <t>El currículo debe estar alineado con los objetivos educativos del programa.</t>
  </si>
  <si>
    <t>Integrar componentes técnicos, profesionales y de educación general.</t>
  </si>
  <si>
    <t>Preparar a los estudiantes para el aprendizaje continuo y desarrollo profesional.</t>
  </si>
  <si>
    <t>Aplicar técnicas, habilidades y herramientas modernas de computación.</t>
  </si>
  <si>
    <t>Considerar aspectos de seguridad, privacidad e impacto social en soluciones tecnológicas.</t>
  </si>
  <si>
    <t>3. Tecnologias y/o herramientas en Tendencia</t>
  </si>
  <si>
    <t>*Investiga las tecnologias y/o herramientas que estan en tendencia actualmente a nivel internacional, como por ejemplo en cuadrante de gartner</t>
  </si>
  <si>
    <t>Nombre</t>
  </si>
  <si>
    <t>Link de referencia</t>
  </si>
  <si>
    <t>ANTLR</t>
  </si>
  <si>
    <t>https://www.antlr.org/</t>
  </si>
  <si>
    <t>PLY</t>
  </si>
  <si>
    <t>https://www.dabeaz.com/ply/</t>
  </si>
  <si>
    <t>Tree-sitter</t>
  </si>
  <si>
    <t>https://tree-sitter.github.io/tree-sitter/</t>
  </si>
  <si>
    <t>LLVM</t>
  </si>
  <si>
    <t>https://llvm.org/</t>
  </si>
  <si>
    <t>Comparación con referentes internacionales</t>
  </si>
  <si>
    <t>* Si el tema del curso no esta en el referente dejala la casilla en blanco</t>
  </si>
  <si>
    <t xml:space="preserve">**Este ejercicio de analisis de servira para mejorar el laboratorio para el siguiente semestre.   </t>
  </si>
  <si>
    <t>Universidad</t>
  </si>
  <si>
    <t>Estandar</t>
  </si>
  <si>
    <t>Laboratorio Actual ( Aqui van los temas impartidos en el presente semestre)</t>
  </si>
  <si>
    <t>Competencia</t>
  </si>
  <si>
    <t>Unidad</t>
  </si>
  <si>
    <t>Tema</t>
  </si>
  <si>
    <t>SubTema</t>
  </si>
  <si>
    <t>Contenido</t>
  </si>
  <si>
    <t>Integra lenguajes y herramientas de programación mediante estrategias de diseño y prueba con pensamiento crítico y visión sistémica</t>
  </si>
  <si>
    <t>Introduccion</t>
  </si>
  <si>
    <t>Introducción a la compilación</t>
  </si>
  <si>
    <t>Conceptos generales de compiladores</t>
  </si>
  <si>
    <t>Tipos de compiladores</t>
  </si>
  <si>
    <t>Fases de Análisis</t>
  </si>
  <si>
    <t>Fases de Síntesis</t>
  </si>
  <si>
    <t>Fase de Sintesis en Compiladores</t>
  </si>
  <si>
    <t>Análisis Léxico</t>
  </si>
  <si>
    <t>Definición de análisis léxico</t>
  </si>
  <si>
    <t>Componentes del análisis léxico</t>
  </si>
  <si>
    <t>Método de Thompson</t>
  </si>
  <si>
    <t>Domina los conceptos fundamentales del compilador para analizar y diseñar traductores en proyectos de software que requieran procesamiento de lenguajes</t>
  </si>
  <si>
    <t>Método del Árbol</t>
  </si>
  <si>
    <t>Análisis Sintactico</t>
  </si>
  <si>
    <t>Definición de análisis sintáctico</t>
  </si>
  <si>
    <t>Introducción a grámaticas libres del contexto</t>
  </si>
  <si>
    <t>Derivaciones</t>
  </si>
  <si>
    <t>Árbol de Análisis Sintáctico</t>
  </si>
  <si>
    <t>Diseña tablas de símbolos y entornos empleando estructuras de datos adecuadas con gestión de ámbitos, tipos y recuperación de errores</t>
  </si>
  <si>
    <t>Estructuras</t>
  </si>
  <si>
    <t>Tabla de Simbolos</t>
  </si>
  <si>
    <t>Tabla de Símbolos</t>
  </si>
  <si>
    <t>Declaración de variables</t>
  </si>
  <si>
    <t>Asignación de variables</t>
  </si>
  <si>
    <t>Acceso de variables</t>
  </si>
  <si>
    <t>Implementa analizadores lexicos mediante expresiones regulares y JFlex para tokenizar entradas definidas y manejar errores léxicos</t>
  </si>
  <si>
    <t>Herramientas de Compilación</t>
  </si>
  <si>
    <t>Ejemplo Practico de JFLEX y CUP</t>
  </si>
  <si>
    <t>Descarga e instalación de herramientas</t>
  </si>
  <si>
    <t>Descripción de la sintáxis de las herramientas</t>
  </si>
  <si>
    <t>Escritura de expresiones regulares</t>
  </si>
  <si>
    <t>Escritura de gramáticas</t>
  </si>
  <si>
    <t>Comunicación con el entorno de programación</t>
  </si>
  <si>
    <t>Acciones Gramaticales</t>
  </si>
  <si>
    <t>Manejo de errores</t>
  </si>
  <si>
    <t>Gramaticas</t>
  </si>
  <si>
    <t>Gramáticas Independientes del Contexto</t>
  </si>
  <si>
    <t>Definición</t>
  </si>
  <si>
    <t>Funciones Primero y Siguientes</t>
  </si>
  <si>
    <t>Gramáticas Descendentes</t>
  </si>
  <si>
    <t>Gramáticas Ascendentes</t>
  </si>
  <si>
    <t>Reescrituras gramaticales</t>
  </si>
  <si>
    <t>Desarrolla analizadores sintácticos con CUP y Jison, gramáticas LL/LR para validar la estructura de programas y construir AST</t>
  </si>
  <si>
    <t>Ejemplo Practico de JISON</t>
  </si>
  <si>
    <t>Aplica el patrón Intérprete integrando validaciones semánticas y ejecución de sentencias para prototipar lenguajes de dominio específico</t>
  </si>
  <si>
    <t>Conferencia</t>
  </si>
  <si>
    <t>Conferencia del Laboratorio</t>
  </si>
  <si>
    <t>Diseño Interprete</t>
  </si>
  <si>
    <t>Interprete utilizando patron interprete</t>
  </si>
  <si>
    <t>Patrones de diseño</t>
  </si>
  <si>
    <t>Patron Interprete</t>
  </si>
  <si>
    <t>Expresiones Aritmeticas</t>
  </si>
  <si>
    <t>Validaciones semanticas</t>
  </si>
  <si>
    <t>Definición de entornos de programación</t>
  </si>
  <si>
    <t>Funcionamiento de la tabla de simbolos</t>
  </si>
  <si>
    <t>Sentencia IF</t>
  </si>
  <si>
    <t>Sentencia While</t>
  </si>
  <si>
    <t>Funcionamiento de las funciones y metodos</t>
  </si>
  <si>
    <t>Llamada de funciones y metodos</t>
  </si>
  <si>
    <t>Llamada principal (main)</t>
  </si>
  <si>
    <t>Tecnologias y/o Herramientas actuales en el laboratorio</t>
  </si>
  <si>
    <t>Tecnologias y/o herramientas en Tendencia</t>
  </si>
  <si>
    <t>Jflex</t>
  </si>
  <si>
    <t>Cup</t>
  </si>
  <si>
    <t>JISON</t>
  </si>
  <si>
    <t>Bison</t>
  </si>
  <si>
    <t>Yacc</t>
  </si>
  <si>
    <t>Consulta con el catedratico de los hallazgos y si debes hacer algun cambio en tecnologias y/o herramientas para el proximo semestre</t>
  </si>
  <si>
    <t>Codigo-Nombre</t>
  </si>
  <si>
    <t>17 - Área Social Humanística 1</t>
  </si>
  <si>
    <t>101 - Área Matemática Básica 1</t>
  </si>
  <si>
    <t>5 - Técnicas de Estudio e Investigación</t>
  </si>
  <si>
    <t>39 - Deportes 1</t>
  </si>
  <si>
    <t>6 - Idioma Tecnico 1</t>
  </si>
  <si>
    <t>19 - Área Social Humanística 2</t>
  </si>
  <si>
    <t>103 - Área Matemática Básica 2</t>
  </si>
  <si>
    <t>960 - Matemática Para Computación 1</t>
  </si>
  <si>
    <t>147 - Física Básica</t>
  </si>
  <si>
    <t>40 - Deportes 2</t>
  </si>
  <si>
    <t>8 - Idioma Técnico 2</t>
  </si>
  <si>
    <t>795 - Logica de Sitemas</t>
  </si>
  <si>
    <t>962 - Matemática Para Computación 2</t>
  </si>
  <si>
    <t>770 - Introducción a ala programación y computación 1</t>
  </si>
  <si>
    <t>107 - Área Matemática Intermedia 1</t>
  </si>
  <si>
    <t>150 - Fisica 1</t>
  </si>
  <si>
    <t>1 - Ética Profesional</t>
  </si>
  <si>
    <t>9 - Idioma Técnico 3</t>
  </si>
  <si>
    <t>796 - Lenguajes Formales y de Programación</t>
  </si>
  <si>
    <t>771 - Introducción a la Programación y Computación 2</t>
  </si>
  <si>
    <t>112 - Área Matemática Intermedia 2</t>
  </si>
  <si>
    <t>114 - Área Matemática Intermedia 3</t>
  </si>
  <si>
    <t>152 - Física 2</t>
  </si>
  <si>
    <t>10 - Lógica</t>
  </si>
  <si>
    <t>11 - Idioma Técnico 4</t>
  </si>
  <si>
    <t>2025 - Prácticas Iniciales</t>
  </si>
  <si>
    <t>732 - Estadística 1</t>
  </si>
  <si>
    <t>964 - Organización Computacional</t>
  </si>
  <si>
    <t>772 - Estructuras de Datos</t>
  </si>
  <si>
    <t>116 - Matemática Aplicada 3</t>
  </si>
  <si>
    <t>118 - Matemática Aplicada 1</t>
  </si>
  <si>
    <t>18 - Filosofía de la Ciencia</t>
  </si>
  <si>
    <t>722 - Teoría de Sistemas 1</t>
  </si>
  <si>
    <t>601 - Investigación de Operaciones 1</t>
  </si>
  <si>
    <t>14 - Economía</t>
  </si>
  <si>
    <t>781 - Organización de Lenguajes y Compiladores 2</t>
  </si>
  <si>
    <t>778 - Arquitectura de Computadoras y Ensambladores 1</t>
  </si>
  <si>
    <t>773 - Manejo e Implementación de Archivos</t>
  </si>
  <si>
    <t>122 - Matemática Aplicada 4</t>
  </si>
  <si>
    <t>120 - Matemática Aplicada 2</t>
  </si>
  <si>
    <t>200 - Ingeniería Eléctrica 1</t>
  </si>
  <si>
    <t>724 - Teoría de Sistemas 2</t>
  </si>
  <si>
    <t>603 - Investigación de Operaciones 2</t>
  </si>
  <si>
    <t>734 - Estadística 2</t>
  </si>
  <si>
    <t>281 - Sistemas Operativos 1</t>
  </si>
  <si>
    <t>779 - Arquitectura de Computadoras y Ensambladores 2</t>
  </si>
  <si>
    <t>970 - Redes de Computadoras 1</t>
  </si>
  <si>
    <t>774 - Sistemas de Bases de Datos 1</t>
  </si>
  <si>
    <t>2036 - Prácticas Intermedias</t>
  </si>
  <si>
    <t>285 - Sistemas Operativos 2</t>
  </si>
  <si>
    <t>975 - Redes de Computadoras 2</t>
  </si>
  <si>
    <t>775 - Sistemas de Bases de Datos 2</t>
  </si>
  <si>
    <t>283 - Análisis y Diseño de Sistemas 1</t>
  </si>
  <si>
    <t>797 - Seminario de Sistemas 1</t>
  </si>
  <si>
    <t>700 - Ingeniería Económica 1</t>
  </si>
  <si>
    <t>729 - Modelación y Simulación 1</t>
  </si>
  <si>
    <t>786 - Sistemas Organizacionales y Gerenciales 1</t>
  </si>
  <si>
    <t>972 - Inteligencia Artificial 1</t>
  </si>
  <si>
    <t>966 - Seguridad y Auditoría de Redes de Computadoras</t>
  </si>
  <si>
    <t>785 - Análisis y Diseño de Sistemas 2</t>
  </si>
  <si>
    <t>798 - Seminario de Sistemas 2</t>
  </si>
  <si>
    <t>788 - Sistemas Aplicados 1</t>
  </si>
  <si>
    <t>776 - Bases de Datos Avanzadas</t>
  </si>
  <si>
    <t>2009 - Prácticas Finales Ingeniería Ciencias y Sistemas</t>
  </si>
  <si>
    <t>720 - Modelación y Simulación 2</t>
  </si>
  <si>
    <t>787 - Sistemas Organizacionales y Gerenciales 2</t>
  </si>
  <si>
    <t>790 - Emprendedores de Negocios Informáticos</t>
  </si>
  <si>
    <t>968 - Inteligencia Artificial 2</t>
  </si>
  <si>
    <t>974 - Redes de Nueva Generación</t>
  </si>
  <si>
    <t>780 - Software Avanzado</t>
  </si>
  <si>
    <t>789 - Sistemas Aplicados 2</t>
  </si>
  <si>
    <t>735 - Auditoría de Proyectos de Software</t>
  </si>
  <si>
    <t>7999 - Seminario de Investigación EPS Sistemas</t>
  </si>
  <si>
    <t>799 - Seminario de Investigación</t>
  </si>
  <si>
    <t>90 - Programacion de Computadoras 1</t>
  </si>
  <si>
    <t>92 - Programacion de Computadoras 2</t>
  </si>
  <si>
    <t>667 - Programacion Comercial 1</t>
  </si>
  <si>
    <t>768 - Algoritmos</t>
  </si>
  <si>
    <t>0089 - Comunicación Asertiva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</si>
</sst>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/>
    <font>
      <b/>
      <sz val="12.0"/>
      <color rgb="FF4285F4"/>
      <name val="Arial"/>
    </font>
    <font>
      <color rgb="FF999999"/>
      <name val="Arial"/>
    </font>
    <font>
      <u/>
      <color rgb="FF0000FF"/>
      <name val="Arial"/>
    </font>
    <font>
      <b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color rgb="FFB7B7B7"/>
      <name val="Arial"/>
    </font>
    <font>
      <u/>
      <color rgb="FF0000FF"/>
      <name val="Arial"/>
    </font>
    <font>
      <u/>
      <color rgb="FF0000FF"/>
    </font>
    <font>
      <color theme="1"/>
      <name val="Arial"/>
      <scheme val="minor"/>
    </font>
    <font>
      <color rgb="FFFFFFFF"/>
      <name val="Arial"/>
    </font>
    <font>
      <color rgb="FFCCCCCC"/>
      <name val="Arial"/>
    </font>
    <font>
      <b/>
      <color rgb="FF4A86E8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shrinkToFit="0" vertical="bottom" wrapText="1"/>
    </xf>
    <xf borderId="2" fillId="0" fontId="1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1" fillId="2" fontId="1" numFmtId="0" xfId="0" applyAlignment="1" applyBorder="1" applyFont="1">
      <alignment shrinkToFit="0" vertical="bottom" wrapText="1"/>
    </xf>
    <xf borderId="2" fillId="0" fontId="7" numFmtId="0" xfId="0" applyAlignment="1" applyBorder="1" applyFont="1">
      <alignment readingOrder="0" vertical="bottom"/>
    </xf>
    <xf borderId="2" fillId="2" fontId="8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vertical="bottom"/>
    </xf>
    <xf borderId="3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 vertical="bottom"/>
    </xf>
    <xf borderId="2" fillId="0" fontId="9" numFmtId="0" xfId="0" applyAlignment="1" applyBorder="1" applyFont="1">
      <alignment readingOrder="0" vertical="bottom"/>
    </xf>
    <xf borderId="3" fillId="0" fontId="10" numFmtId="0" xfId="0" applyAlignment="1" applyBorder="1" applyFont="1">
      <alignment readingOrder="0" vertical="bottom"/>
    </xf>
    <xf borderId="4" fillId="0" fontId="11" numFmtId="0" xfId="0" applyAlignment="1" applyBorder="1" applyFont="1">
      <alignment readingOrder="0" vertical="bottom"/>
    </xf>
    <xf borderId="0" fillId="0" fontId="12" numFmtId="0" xfId="0" applyFont="1"/>
    <xf borderId="1" fillId="2" fontId="1" numFmtId="0" xfId="0" applyBorder="1" applyFont="1"/>
    <xf borderId="1" fillId="0" fontId="13" numFmtId="0" xfId="0" applyAlignment="1" applyBorder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3" fillId="0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shrinkToFit="0" vertical="bottom" wrapText="1"/>
    </xf>
    <xf borderId="1" fillId="0" fontId="1" numFmtId="0" xfId="0" applyBorder="1" applyFont="1"/>
    <xf borderId="5" fillId="0" fontId="2" numFmtId="0" xfId="0" applyAlignment="1" applyBorder="1" applyFont="1">
      <alignment horizontal="center" shrinkToFit="0" vertical="bottom" wrapText="1"/>
    </xf>
    <xf borderId="6" fillId="0" fontId="4" numFmtId="0" xfId="0" applyBorder="1" applyFont="1"/>
    <xf borderId="7" fillId="0" fontId="4" numFmtId="0" xfId="0" applyBorder="1" applyFont="1"/>
    <xf borderId="0" fillId="0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2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shrinkToFit="0" vertical="bottom" wrapText="1"/>
    </xf>
    <xf borderId="0" fillId="0" fontId="15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5" numFmtId="0" xfId="0" applyAlignment="1" applyFont="1">
      <alignment shrinkToFit="0" wrapText="1"/>
    </xf>
    <xf borderId="0" fillId="4" fontId="1" numFmtId="0" xfId="0" applyAlignment="1" applyFill="1" applyFont="1">
      <alignment shrinkToFit="0" wrapText="1"/>
    </xf>
    <xf borderId="0" fillId="4" fontId="1" numFmtId="0" xfId="0" applyFont="1"/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eb.stanford.edu/class/cs143/" TargetMode="External"/><Relationship Id="rId2" Type="http://schemas.openxmlformats.org/officeDocument/2006/relationships/hyperlink" Target="https://www.abet.org/wp-content/uploads/2024/11/2025-2026_CAC_Criteria.pdf" TargetMode="External"/><Relationship Id="rId3" Type="http://schemas.openxmlformats.org/officeDocument/2006/relationships/hyperlink" Target="https://www.antlr.org/" TargetMode="External"/><Relationship Id="rId4" Type="http://schemas.openxmlformats.org/officeDocument/2006/relationships/hyperlink" Target="https://www.dabeaz.com/ply/" TargetMode="External"/><Relationship Id="rId5" Type="http://schemas.openxmlformats.org/officeDocument/2006/relationships/hyperlink" Target="https://tree-sitter.github.io/tree-sitter/" TargetMode="External"/><Relationship Id="rId6" Type="http://schemas.openxmlformats.org/officeDocument/2006/relationships/hyperlink" Target="https://llvm.org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16.75"/>
  </cols>
  <sheetData>
    <row r="1" ht="15.75" customHeight="1">
      <c r="A1" s="1"/>
      <c r="B1" s="2" t="s">
        <v>0</v>
      </c>
    </row>
    <row r="2" ht="15.75" customHeight="1">
      <c r="A2" s="1"/>
      <c r="B2" s="1"/>
      <c r="C2" s="1"/>
      <c r="D2" s="1"/>
      <c r="E2" s="1"/>
      <c r="F2" s="1"/>
      <c r="G2" s="1"/>
    </row>
    <row r="3" ht="15.75" customHeight="1">
      <c r="A3" s="1"/>
      <c r="B3" s="3" t="s">
        <v>1</v>
      </c>
      <c r="C3" s="4" t="s">
        <v>2</v>
      </c>
      <c r="D3" s="5"/>
      <c r="E3" s="5"/>
      <c r="F3" s="5"/>
      <c r="G3" s="6"/>
    </row>
    <row r="4" ht="15.75" customHeight="1">
      <c r="A4" s="1"/>
      <c r="B4" s="3" t="s">
        <v>3</v>
      </c>
      <c r="C4" s="7" t="s">
        <v>4</v>
      </c>
      <c r="D4" s="5"/>
      <c r="E4" s="5"/>
      <c r="F4" s="5"/>
      <c r="G4" s="6"/>
    </row>
    <row r="5" ht="15.75" customHeight="1">
      <c r="A5" s="1"/>
      <c r="B5" s="1"/>
      <c r="C5" s="1"/>
      <c r="D5" s="1"/>
      <c r="E5" s="1"/>
      <c r="F5" s="1"/>
      <c r="G5" s="1"/>
    </row>
    <row r="6" ht="15.75" customHeight="1">
      <c r="A6" s="1"/>
      <c r="B6" s="8" t="s">
        <v>5</v>
      </c>
      <c r="C6" s="1"/>
      <c r="D6" s="1"/>
      <c r="E6" s="1"/>
      <c r="F6" s="1"/>
      <c r="G6" s="1"/>
    </row>
    <row r="7" ht="24.0" customHeight="1">
      <c r="A7" s="1"/>
      <c r="B7" s="9" t="s">
        <v>6</v>
      </c>
    </row>
    <row r="8" ht="15.75" customHeight="1">
      <c r="A8" s="1"/>
      <c r="B8" s="1"/>
      <c r="C8" s="1"/>
      <c r="D8" s="1"/>
      <c r="E8" s="1"/>
      <c r="F8" s="1"/>
      <c r="G8" s="1"/>
    </row>
    <row r="9" ht="38.25" customHeight="1">
      <c r="A9" s="1"/>
      <c r="B9" s="10" t="s">
        <v>7</v>
      </c>
      <c r="C9" s="4" t="s">
        <v>8</v>
      </c>
      <c r="D9" s="5"/>
      <c r="E9" s="5"/>
      <c r="F9" s="5"/>
      <c r="G9" s="6"/>
    </row>
    <row r="10" ht="27.75" customHeight="1">
      <c r="A10" s="1"/>
      <c r="B10" s="10" t="s">
        <v>9</v>
      </c>
      <c r="C10" s="4" t="s">
        <v>10</v>
      </c>
      <c r="D10" s="5"/>
      <c r="E10" s="5"/>
      <c r="F10" s="5"/>
      <c r="G10" s="6"/>
    </row>
    <row r="11" ht="35.25" customHeight="1">
      <c r="A11" s="1"/>
      <c r="B11" s="10" t="s">
        <v>1</v>
      </c>
      <c r="C11" s="4" t="s">
        <v>11</v>
      </c>
      <c r="D11" s="5"/>
      <c r="E11" s="5"/>
      <c r="F11" s="5"/>
      <c r="G11" s="6"/>
    </row>
    <row r="12" ht="33.0" customHeight="1">
      <c r="A12" s="1"/>
      <c r="B12" s="10" t="s">
        <v>12</v>
      </c>
      <c r="C12" s="11" t="s">
        <v>13</v>
      </c>
      <c r="D12" s="5"/>
      <c r="E12" s="5"/>
      <c r="F12" s="5"/>
      <c r="G12" s="6"/>
    </row>
    <row r="13" ht="15.75" customHeight="1">
      <c r="A13" s="1"/>
      <c r="B13" s="1"/>
      <c r="C13" s="1"/>
      <c r="D13" s="1"/>
      <c r="E13" s="1"/>
      <c r="F13" s="1"/>
      <c r="G13" s="1"/>
    </row>
    <row r="14" ht="15.75" customHeight="1">
      <c r="A14" s="1"/>
      <c r="B14" s="12" t="s">
        <v>14</v>
      </c>
      <c r="C14" s="12" t="s">
        <v>15</v>
      </c>
      <c r="D14" s="5"/>
      <c r="E14" s="5"/>
      <c r="F14" s="5"/>
      <c r="G14" s="6"/>
    </row>
    <row r="15" ht="15.75" customHeight="1">
      <c r="A15" s="1"/>
      <c r="B15" s="13">
        <v>1.0</v>
      </c>
      <c r="C15" s="14" t="s">
        <v>16</v>
      </c>
      <c r="D15" s="5"/>
      <c r="E15" s="5"/>
      <c r="F15" s="5"/>
      <c r="G15" s="6"/>
    </row>
    <row r="16" ht="15.75" customHeight="1">
      <c r="A16" s="1"/>
      <c r="B16" s="13">
        <v>2.0</v>
      </c>
      <c r="C16" s="14" t="s">
        <v>17</v>
      </c>
      <c r="D16" s="5"/>
      <c r="E16" s="5"/>
      <c r="F16" s="5"/>
      <c r="G16" s="6"/>
    </row>
    <row r="17" ht="15.75" customHeight="1">
      <c r="A17" s="1"/>
      <c r="B17" s="15">
        <v>3.0</v>
      </c>
      <c r="C17" s="14" t="s">
        <v>18</v>
      </c>
      <c r="D17" s="5"/>
      <c r="E17" s="5"/>
      <c r="F17" s="5"/>
      <c r="G17" s="6"/>
    </row>
    <row r="18" ht="15.75" customHeight="1">
      <c r="A18" s="1"/>
      <c r="B18" s="15">
        <v>4.0</v>
      </c>
      <c r="C18" s="14" t="s">
        <v>19</v>
      </c>
      <c r="D18" s="5"/>
      <c r="E18" s="5"/>
      <c r="F18" s="5"/>
      <c r="G18" s="6"/>
    </row>
    <row r="19" ht="15.75" customHeight="1">
      <c r="A19" s="1"/>
      <c r="B19" s="15">
        <v>5.0</v>
      </c>
      <c r="C19" s="14" t="s">
        <v>20</v>
      </c>
      <c r="D19" s="5"/>
      <c r="E19" s="5"/>
      <c r="F19" s="5"/>
      <c r="G19" s="6"/>
    </row>
    <row r="20" ht="15.75" customHeight="1">
      <c r="A20" s="1"/>
      <c r="B20" s="15">
        <v>6.0</v>
      </c>
      <c r="C20" s="14" t="s">
        <v>21</v>
      </c>
      <c r="D20" s="5"/>
      <c r="E20" s="5"/>
      <c r="F20" s="5"/>
      <c r="G20" s="6"/>
    </row>
    <row r="21" ht="15.75" customHeight="1">
      <c r="A21" s="1"/>
      <c r="B21" s="15">
        <v>7.0</v>
      </c>
      <c r="C21" s="14" t="s">
        <v>22</v>
      </c>
      <c r="D21" s="5"/>
      <c r="E21" s="5"/>
      <c r="F21" s="5"/>
      <c r="G21" s="6"/>
    </row>
    <row r="22" ht="15.75" customHeight="1">
      <c r="A22" s="1"/>
      <c r="B22" s="15">
        <v>8.0</v>
      </c>
      <c r="C22" s="14" t="s">
        <v>23</v>
      </c>
      <c r="D22" s="5"/>
      <c r="E22" s="5"/>
      <c r="F22" s="5"/>
      <c r="G22" s="6"/>
    </row>
    <row r="23" ht="15.75" customHeight="1">
      <c r="A23" s="1"/>
      <c r="B23" s="15">
        <v>9.0</v>
      </c>
      <c r="C23" s="14" t="s">
        <v>24</v>
      </c>
      <c r="D23" s="5"/>
      <c r="E23" s="5"/>
      <c r="F23" s="5"/>
      <c r="G23" s="6"/>
    </row>
    <row r="24" ht="15.75" customHeight="1">
      <c r="A24" s="1"/>
      <c r="B24" s="15">
        <v>10.0</v>
      </c>
      <c r="C24" s="14" t="s">
        <v>25</v>
      </c>
      <c r="D24" s="5"/>
      <c r="E24" s="5"/>
      <c r="F24" s="5"/>
      <c r="G24" s="6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7.25" customHeight="1">
      <c r="A27" s="1"/>
      <c r="B27" s="8" t="s">
        <v>26</v>
      </c>
      <c r="C27" s="1"/>
      <c r="D27" s="1"/>
      <c r="E27" s="1"/>
      <c r="F27" s="1"/>
      <c r="G27" s="1"/>
    </row>
    <row r="28" ht="40.5" customHeight="1">
      <c r="A28" s="1"/>
      <c r="B28" s="9" t="s">
        <v>27</v>
      </c>
    </row>
    <row r="29" ht="15.75" customHeight="1">
      <c r="A29" s="1"/>
      <c r="B29" s="1"/>
      <c r="C29" s="1"/>
      <c r="D29" s="1"/>
      <c r="E29" s="1"/>
      <c r="F29" s="1"/>
      <c r="G29" s="1"/>
    </row>
    <row r="30" ht="30.0" customHeight="1">
      <c r="A30" s="1"/>
      <c r="B30" s="10" t="s">
        <v>28</v>
      </c>
      <c r="C30" s="4" t="s">
        <v>29</v>
      </c>
      <c r="D30" s="16"/>
      <c r="E30" s="16"/>
      <c r="F30" s="16"/>
      <c r="G30" s="17"/>
    </row>
    <row r="31" ht="28.5" customHeight="1">
      <c r="A31" s="1"/>
      <c r="B31" s="10" t="s">
        <v>30</v>
      </c>
      <c r="C31" s="4" t="s">
        <v>31</v>
      </c>
      <c r="D31" s="16"/>
      <c r="E31" s="16"/>
      <c r="F31" s="16"/>
      <c r="G31" s="17"/>
    </row>
    <row r="32" ht="39.75" customHeight="1">
      <c r="A32" s="1"/>
      <c r="B32" s="10" t="s">
        <v>32</v>
      </c>
      <c r="C32" s="18" t="s">
        <v>33</v>
      </c>
      <c r="D32" s="19"/>
      <c r="E32" s="19"/>
      <c r="F32" s="19"/>
      <c r="G32" s="20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B34" s="12" t="s">
        <v>14</v>
      </c>
      <c r="C34" s="12" t="s">
        <v>34</v>
      </c>
      <c r="D34" s="5"/>
      <c r="E34" s="5"/>
      <c r="F34" s="5"/>
      <c r="G34" s="6"/>
    </row>
    <row r="35" ht="45.0" customHeight="1">
      <c r="B35" s="13">
        <v>1.0</v>
      </c>
      <c r="C35" s="14" t="s">
        <v>35</v>
      </c>
      <c r="D35" s="5"/>
      <c r="E35" s="5"/>
      <c r="F35" s="5"/>
      <c r="G35" s="6"/>
    </row>
    <row r="36" ht="15.75" customHeight="1">
      <c r="B36" s="13">
        <v>2.0</v>
      </c>
      <c r="C36" s="14" t="s">
        <v>36</v>
      </c>
      <c r="D36" s="5"/>
      <c r="E36" s="5"/>
      <c r="F36" s="5"/>
      <c r="G36" s="6"/>
    </row>
    <row r="37" ht="15.75" customHeight="1">
      <c r="B37" s="15">
        <v>3.0</v>
      </c>
      <c r="C37" s="14" t="s">
        <v>37</v>
      </c>
      <c r="D37" s="5"/>
      <c r="E37" s="5"/>
      <c r="F37" s="5"/>
      <c r="G37" s="6"/>
    </row>
    <row r="38" ht="15.75" customHeight="1">
      <c r="B38" s="15">
        <v>4.0</v>
      </c>
      <c r="C38" s="14" t="s">
        <v>38</v>
      </c>
      <c r="D38" s="5"/>
      <c r="E38" s="5"/>
      <c r="F38" s="5"/>
      <c r="G38" s="6"/>
    </row>
    <row r="39" ht="15.75" customHeight="1">
      <c r="B39" s="15">
        <v>5.0</v>
      </c>
      <c r="C39" s="14" t="s">
        <v>39</v>
      </c>
      <c r="D39" s="5"/>
      <c r="E39" s="5"/>
      <c r="F39" s="5"/>
      <c r="G39" s="6"/>
    </row>
    <row r="40" ht="15.75" customHeight="1">
      <c r="B40" s="15">
        <v>6.0</v>
      </c>
      <c r="C40" s="14" t="s">
        <v>40</v>
      </c>
      <c r="D40" s="5"/>
      <c r="E40" s="5"/>
      <c r="F40" s="5"/>
      <c r="G40" s="6"/>
    </row>
    <row r="41" ht="15.75" customHeight="1">
      <c r="B41" s="15">
        <v>7.0</v>
      </c>
      <c r="C41" s="14" t="s">
        <v>41</v>
      </c>
      <c r="D41" s="5"/>
      <c r="E41" s="5"/>
      <c r="F41" s="5"/>
      <c r="G41" s="6"/>
    </row>
    <row r="42" ht="15.75" customHeight="1">
      <c r="B42" s="15">
        <v>8.0</v>
      </c>
      <c r="C42" s="14" t="s">
        <v>42</v>
      </c>
      <c r="D42" s="5"/>
      <c r="E42" s="5"/>
      <c r="F42" s="5"/>
      <c r="G42" s="6"/>
    </row>
    <row r="43" ht="15.75" customHeight="1">
      <c r="B43" s="15">
        <v>9.0</v>
      </c>
      <c r="C43" s="14" t="s">
        <v>43</v>
      </c>
      <c r="D43" s="5"/>
      <c r="E43" s="5"/>
      <c r="F43" s="5"/>
      <c r="G43" s="6"/>
    </row>
    <row r="44" ht="15.75" customHeight="1">
      <c r="B44" s="15">
        <v>10.0</v>
      </c>
      <c r="C44" s="14" t="s">
        <v>44</v>
      </c>
      <c r="D44" s="5"/>
      <c r="E44" s="5"/>
      <c r="F44" s="5"/>
      <c r="G44" s="6"/>
    </row>
    <row r="45" ht="15.75" customHeight="1"/>
    <row r="46" ht="15.75" customHeight="1"/>
    <row r="47" ht="15.75" customHeight="1">
      <c r="B47" s="8" t="s">
        <v>45</v>
      </c>
    </row>
    <row r="48" ht="15.75" customHeight="1">
      <c r="B48" s="21" t="s">
        <v>46</v>
      </c>
    </row>
    <row r="49" ht="15.75" customHeight="1">
      <c r="B49" s="12" t="s">
        <v>14</v>
      </c>
      <c r="C49" s="12" t="s">
        <v>47</v>
      </c>
      <c r="D49" s="5"/>
      <c r="E49" s="5"/>
      <c r="F49" s="5"/>
      <c r="G49" s="6"/>
      <c r="H49" s="22" t="s">
        <v>48</v>
      </c>
    </row>
    <row r="50" ht="15.75" customHeight="1">
      <c r="B50" s="13">
        <v>1.0</v>
      </c>
      <c r="C50" s="14" t="s">
        <v>49</v>
      </c>
      <c r="D50" s="5"/>
      <c r="E50" s="5"/>
      <c r="F50" s="5"/>
      <c r="G50" s="6"/>
      <c r="H50" s="23" t="s">
        <v>50</v>
      </c>
    </row>
    <row r="51" ht="15.75" customHeight="1">
      <c r="B51" s="13">
        <v>2.0</v>
      </c>
      <c r="C51" s="14" t="s">
        <v>51</v>
      </c>
      <c r="D51" s="5"/>
      <c r="E51" s="5"/>
      <c r="F51" s="5"/>
      <c r="G51" s="6"/>
      <c r="H51" s="23" t="s">
        <v>52</v>
      </c>
    </row>
    <row r="52" ht="15.75" customHeight="1">
      <c r="B52" s="15">
        <v>3.0</v>
      </c>
      <c r="C52" s="14" t="s">
        <v>53</v>
      </c>
      <c r="D52" s="5"/>
      <c r="E52" s="5"/>
      <c r="F52" s="5"/>
      <c r="G52" s="6"/>
      <c r="H52" s="24" t="s">
        <v>54</v>
      </c>
    </row>
    <row r="53" ht="15.75" customHeight="1">
      <c r="B53" s="15">
        <v>4.0</v>
      </c>
      <c r="C53" s="25" t="s">
        <v>55</v>
      </c>
      <c r="D53" s="26"/>
      <c r="E53" s="26"/>
      <c r="F53" s="26"/>
      <c r="G53" s="27"/>
      <c r="H53" s="23" t="s">
        <v>56</v>
      </c>
    </row>
    <row r="54" ht="15.75" customHeight="1">
      <c r="B54" s="15">
        <v>5.0</v>
      </c>
      <c r="C54" s="28"/>
      <c r="D54" s="5"/>
      <c r="E54" s="5"/>
      <c r="F54" s="5"/>
      <c r="G54" s="6"/>
      <c r="H54" s="29"/>
    </row>
    <row r="55" ht="15.75" customHeight="1">
      <c r="B55" s="15">
        <v>6.0</v>
      </c>
      <c r="C55" s="28"/>
      <c r="D55" s="5"/>
      <c r="E55" s="5"/>
      <c r="F55" s="5"/>
      <c r="G55" s="6"/>
      <c r="H55" s="29"/>
    </row>
    <row r="56" ht="15.75" customHeight="1">
      <c r="B56" s="15">
        <v>7.0</v>
      </c>
      <c r="C56" s="28"/>
      <c r="D56" s="5"/>
      <c r="E56" s="5"/>
      <c r="F56" s="5"/>
      <c r="G56" s="6"/>
      <c r="H56" s="29"/>
    </row>
    <row r="57" ht="15.75" customHeight="1">
      <c r="B57" s="15">
        <v>8.0</v>
      </c>
      <c r="C57" s="28"/>
      <c r="D57" s="5"/>
      <c r="E57" s="5"/>
      <c r="F57" s="5"/>
      <c r="G57" s="6"/>
      <c r="H57" s="29"/>
    </row>
    <row r="58" ht="15.75" customHeight="1">
      <c r="B58" s="15">
        <v>9.0</v>
      </c>
      <c r="C58" s="28"/>
      <c r="D58" s="5"/>
      <c r="E58" s="5"/>
      <c r="F58" s="5"/>
      <c r="G58" s="6"/>
      <c r="H58" s="29"/>
    </row>
    <row r="59" ht="15.75" customHeight="1">
      <c r="B59" s="15">
        <v>10.0</v>
      </c>
      <c r="C59" s="28"/>
      <c r="D59" s="5"/>
      <c r="E59" s="5"/>
      <c r="F59" s="5"/>
      <c r="G59" s="6"/>
      <c r="H59" s="29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41">
    <mergeCell ref="B1:G1"/>
    <mergeCell ref="C3:G3"/>
    <mergeCell ref="C4:G4"/>
    <mergeCell ref="B7:G7"/>
    <mergeCell ref="C9:G9"/>
    <mergeCell ref="C10:G10"/>
    <mergeCell ref="C11:G11"/>
    <mergeCell ref="C12:G12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28:G28"/>
    <mergeCell ref="C34:G34"/>
    <mergeCell ref="C36:G36"/>
    <mergeCell ref="C37:G37"/>
    <mergeCell ref="C38:G38"/>
    <mergeCell ref="C35:G35"/>
    <mergeCell ref="C39:G39"/>
    <mergeCell ref="C40:G40"/>
    <mergeCell ref="C41:G41"/>
    <mergeCell ref="C42:G42"/>
    <mergeCell ref="C43:G43"/>
    <mergeCell ref="C44:G44"/>
    <mergeCell ref="C49:G49"/>
    <mergeCell ref="C58:G58"/>
    <mergeCell ref="C59:G59"/>
    <mergeCell ref="C50:G50"/>
    <mergeCell ref="C51:G51"/>
    <mergeCell ref="C52:G52"/>
    <mergeCell ref="C54:G54"/>
    <mergeCell ref="C55:G55"/>
    <mergeCell ref="C56:G56"/>
    <mergeCell ref="C57:G57"/>
  </mergeCells>
  <dataValidations>
    <dataValidation type="list" allowBlank="1" showErrorMessage="1" sqref="C3">
      <formula1>Metadata!$A$2:$A$81</formula1>
    </dataValidation>
  </dataValidations>
  <hyperlinks>
    <hyperlink r:id="rId1" ref="C12"/>
    <hyperlink r:id="rId2" ref="C32"/>
    <hyperlink r:id="rId3" ref="H50"/>
    <hyperlink r:id="rId4" ref="H51"/>
    <hyperlink r:id="rId5" ref="H52"/>
    <hyperlink r:id="rId6" ref="H53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25.13"/>
    <col customWidth="1" min="7" max="7" width="48.0"/>
  </cols>
  <sheetData>
    <row r="1">
      <c r="A1" s="1"/>
      <c r="B1" s="30" t="s">
        <v>57</v>
      </c>
      <c r="C1" s="31"/>
      <c r="D1" s="31"/>
      <c r="E1" s="31"/>
      <c r="F1" s="31"/>
      <c r="G1" s="32"/>
    </row>
    <row r="2">
      <c r="A2" s="33" t="str">
        <f>#REF!&amp;" - "&amp;C3</f>
        <v>#REF!</v>
      </c>
      <c r="B2" s="1"/>
      <c r="C2" s="1"/>
      <c r="D2" s="1"/>
      <c r="E2" s="1"/>
      <c r="F2" s="1"/>
      <c r="G2" s="1"/>
    </row>
    <row r="3">
      <c r="A3" s="1"/>
      <c r="B3" s="3" t="s">
        <v>1</v>
      </c>
      <c r="C3" s="28" t="str">
        <f>Refentes!C3</f>
        <v>777 - Organización de Lenguajes y Compiladores 1</v>
      </c>
      <c r="D3" s="5"/>
      <c r="E3" s="5"/>
      <c r="F3" s="5"/>
      <c r="G3" s="6"/>
    </row>
    <row r="4">
      <c r="A4" s="1"/>
      <c r="B4" s="3" t="s">
        <v>3</v>
      </c>
      <c r="C4" s="7" t="str">
        <f>Refentes!C4</f>
        <v>Segundo Semestre 2026</v>
      </c>
      <c r="D4" s="5"/>
      <c r="E4" s="5"/>
      <c r="F4" s="5"/>
      <c r="G4" s="6"/>
    </row>
    <row r="5">
      <c r="A5" s="1"/>
      <c r="B5" s="34" t="s">
        <v>58</v>
      </c>
    </row>
    <row r="6">
      <c r="A6" s="1"/>
      <c r="B6" s="35" t="s">
        <v>59</v>
      </c>
    </row>
    <row r="7">
      <c r="A7" s="1"/>
      <c r="B7" s="36"/>
      <c r="C7" s="36"/>
      <c r="D7" s="36"/>
      <c r="E7" s="36"/>
      <c r="F7" s="36"/>
      <c r="G7" s="36"/>
    </row>
    <row r="8">
      <c r="A8" s="1"/>
      <c r="B8" s="36"/>
      <c r="C8" s="36"/>
      <c r="D8" s="36"/>
      <c r="E8" s="36"/>
      <c r="F8" s="37" t="s">
        <v>60</v>
      </c>
      <c r="G8" s="37" t="s">
        <v>61</v>
      </c>
    </row>
    <row r="9">
      <c r="A9" s="1"/>
      <c r="B9" s="38" t="s">
        <v>62</v>
      </c>
      <c r="C9" s="5"/>
      <c r="D9" s="5"/>
      <c r="E9" s="6"/>
      <c r="F9" s="10" t="str">
        <f>Refentes!C9</f>
        <v>Stanford</v>
      </c>
      <c r="G9" s="10" t="str">
        <f>Refentes!C30</f>
        <v>ABET – Computing Accreditation Criteria</v>
      </c>
    </row>
    <row r="10">
      <c r="A10" s="1"/>
      <c r="B10" s="10" t="s">
        <v>63</v>
      </c>
      <c r="C10" s="10" t="s">
        <v>64</v>
      </c>
      <c r="D10" s="10" t="s">
        <v>65</v>
      </c>
      <c r="E10" s="10" t="s">
        <v>66</v>
      </c>
      <c r="F10" s="10" t="s">
        <v>67</v>
      </c>
      <c r="G10" s="10" t="s">
        <v>67</v>
      </c>
    </row>
    <row r="11" ht="94.5" customHeight="1">
      <c r="B11" s="39" t="s">
        <v>68</v>
      </c>
      <c r="C11" s="39" t="s">
        <v>69</v>
      </c>
      <c r="D11" s="39" t="s">
        <v>70</v>
      </c>
      <c r="E11" s="39" t="s">
        <v>71</v>
      </c>
      <c r="F11" s="40" t="s">
        <v>16</v>
      </c>
      <c r="G11" s="40" t="s">
        <v>35</v>
      </c>
    </row>
    <row r="12">
      <c r="B12" s="39" t="s">
        <v>68</v>
      </c>
      <c r="C12" s="39" t="s">
        <v>69</v>
      </c>
      <c r="D12" s="39" t="s">
        <v>70</v>
      </c>
      <c r="E12" s="39" t="s">
        <v>72</v>
      </c>
      <c r="F12" s="40" t="s">
        <v>16</v>
      </c>
      <c r="G12" s="40" t="s">
        <v>35</v>
      </c>
    </row>
    <row r="13">
      <c r="B13" s="39" t="s">
        <v>68</v>
      </c>
      <c r="C13" s="39" t="s">
        <v>69</v>
      </c>
      <c r="D13" s="39" t="s">
        <v>70</v>
      </c>
      <c r="E13" s="39" t="s">
        <v>73</v>
      </c>
      <c r="F13" s="40" t="s">
        <v>20</v>
      </c>
      <c r="G13" s="40" t="s">
        <v>35</v>
      </c>
    </row>
    <row r="14">
      <c r="B14" s="39" t="s">
        <v>68</v>
      </c>
      <c r="C14" s="39" t="s">
        <v>69</v>
      </c>
      <c r="D14" s="39" t="s">
        <v>70</v>
      </c>
      <c r="E14" s="39" t="s">
        <v>74</v>
      </c>
      <c r="F14" s="40" t="s">
        <v>20</v>
      </c>
      <c r="G14" s="40" t="s">
        <v>36</v>
      </c>
    </row>
    <row r="15">
      <c r="B15" s="39" t="s">
        <v>68</v>
      </c>
      <c r="C15" s="39" t="s">
        <v>75</v>
      </c>
      <c r="D15" s="39" t="s">
        <v>76</v>
      </c>
      <c r="E15" s="39" t="s">
        <v>77</v>
      </c>
      <c r="F15" s="40" t="s">
        <v>16</v>
      </c>
      <c r="G15" s="40" t="s">
        <v>35</v>
      </c>
    </row>
    <row r="16">
      <c r="B16" s="39" t="s">
        <v>68</v>
      </c>
      <c r="C16" s="39" t="s">
        <v>75</v>
      </c>
      <c r="D16" s="39" t="s">
        <v>76</v>
      </c>
      <c r="E16" s="39" t="s">
        <v>78</v>
      </c>
      <c r="F16" s="40" t="s">
        <v>16</v>
      </c>
      <c r="G16" s="40" t="s">
        <v>35</v>
      </c>
    </row>
    <row r="17">
      <c r="B17" s="39" t="s">
        <v>68</v>
      </c>
      <c r="C17" s="39" t="s">
        <v>75</v>
      </c>
      <c r="D17" s="39" t="s">
        <v>76</v>
      </c>
      <c r="E17" s="39" t="s">
        <v>79</v>
      </c>
      <c r="F17" s="40" t="s">
        <v>18</v>
      </c>
      <c r="G17" s="40" t="s">
        <v>35</v>
      </c>
    </row>
    <row r="18">
      <c r="B18" s="39" t="s">
        <v>80</v>
      </c>
      <c r="C18" s="39" t="s">
        <v>75</v>
      </c>
      <c r="D18" s="39" t="s">
        <v>76</v>
      </c>
      <c r="E18" s="39" t="s">
        <v>81</v>
      </c>
      <c r="F18" s="40" t="s">
        <v>18</v>
      </c>
      <c r="G18" s="40" t="s">
        <v>35</v>
      </c>
    </row>
    <row r="19">
      <c r="B19" s="39" t="s">
        <v>80</v>
      </c>
      <c r="C19" s="39" t="s">
        <v>75</v>
      </c>
      <c r="D19" s="39" t="s">
        <v>82</v>
      </c>
      <c r="E19" s="39" t="s">
        <v>83</v>
      </c>
      <c r="F19" s="40" t="s">
        <v>19</v>
      </c>
      <c r="G19" s="40" t="s">
        <v>35</v>
      </c>
    </row>
    <row r="20">
      <c r="B20" s="39" t="s">
        <v>80</v>
      </c>
      <c r="C20" s="39" t="s">
        <v>75</v>
      </c>
      <c r="D20" s="39" t="s">
        <v>82</v>
      </c>
      <c r="E20" s="39" t="s">
        <v>84</v>
      </c>
      <c r="F20" s="40" t="s">
        <v>20</v>
      </c>
      <c r="G20" s="40" t="s">
        <v>43</v>
      </c>
    </row>
    <row r="21">
      <c r="B21" s="39" t="s">
        <v>80</v>
      </c>
      <c r="C21" s="39" t="s">
        <v>75</v>
      </c>
      <c r="D21" s="39" t="s">
        <v>82</v>
      </c>
      <c r="E21" s="39" t="s">
        <v>85</v>
      </c>
      <c r="F21" s="40" t="s">
        <v>23</v>
      </c>
      <c r="G21" s="40" t="s">
        <v>43</v>
      </c>
    </row>
    <row r="22">
      <c r="B22" s="39" t="s">
        <v>80</v>
      </c>
      <c r="C22" s="39" t="s">
        <v>75</v>
      </c>
      <c r="D22" s="39" t="s">
        <v>82</v>
      </c>
      <c r="E22" s="39" t="s">
        <v>86</v>
      </c>
      <c r="F22" s="40" t="s">
        <v>19</v>
      </c>
      <c r="G22" s="40" t="s">
        <v>43</v>
      </c>
    </row>
    <row r="23">
      <c r="B23" s="39" t="s">
        <v>87</v>
      </c>
      <c r="C23" s="39" t="s">
        <v>88</v>
      </c>
      <c r="D23" s="39" t="s">
        <v>89</v>
      </c>
      <c r="E23" s="39" t="s">
        <v>90</v>
      </c>
      <c r="F23" s="40" t="s">
        <v>23</v>
      </c>
      <c r="G23" s="40" t="s">
        <v>43</v>
      </c>
    </row>
    <row r="24">
      <c r="B24" s="39" t="s">
        <v>87</v>
      </c>
      <c r="C24" s="39" t="s">
        <v>88</v>
      </c>
      <c r="D24" s="39" t="s">
        <v>89</v>
      </c>
      <c r="E24" s="39" t="s">
        <v>91</v>
      </c>
      <c r="F24" s="40" t="s">
        <v>23</v>
      </c>
      <c r="G24" s="40" t="s">
        <v>43</v>
      </c>
    </row>
    <row r="25">
      <c r="B25" s="39" t="s">
        <v>87</v>
      </c>
      <c r="C25" s="39" t="s">
        <v>88</v>
      </c>
      <c r="D25" s="39" t="s">
        <v>89</v>
      </c>
      <c r="E25" s="39" t="s">
        <v>92</v>
      </c>
      <c r="F25" s="40" t="s">
        <v>23</v>
      </c>
      <c r="G25" s="41"/>
    </row>
    <row r="26">
      <c r="B26" s="39" t="s">
        <v>87</v>
      </c>
      <c r="C26" s="39" t="s">
        <v>88</v>
      </c>
      <c r="D26" s="39" t="s">
        <v>89</v>
      </c>
      <c r="E26" s="39" t="s">
        <v>93</v>
      </c>
      <c r="F26" s="40" t="s">
        <v>23</v>
      </c>
      <c r="G26" s="41"/>
    </row>
    <row r="27">
      <c r="B27" s="39" t="s">
        <v>94</v>
      </c>
      <c r="C27" s="39" t="s">
        <v>95</v>
      </c>
      <c r="D27" s="39" t="s">
        <v>96</v>
      </c>
      <c r="E27" s="39" t="s">
        <v>97</v>
      </c>
      <c r="F27" s="41"/>
      <c r="G27" s="41"/>
    </row>
    <row r="28">
      <c r="B28" s="39" t="s">
        <v>94</v>
      </c>
      <c r="C28" s="39" t="s">
        <v>95</v>
      </c>
      <c r="D28" s="39" t="s">
        <v>96</v>
      </c>
      <c r="E28" s="39" t="s">
        <v>98</v>
      </c>
      <c r="F28" s="41"/>
      <c r="G28" s="41"/>
    </row>
    <row r="29">
      <c r="B29" s="39" t="s">
        <v>94</v>
      </c>
      <c r="C29" s="39" t="s">
        <v>95</v>
      </c>
      <c r="D29" s="39" t="s">
        <v>96</v>
      </c>
      <c r="E29" s="39" t="s">
        <v>99</v>
      </c>
      <c r="F29" s="41"/>
      <c r="G29" s="41"/>
    </row>
    <row r="30">
      <c r="B30" s="39" t="s">
        <v>94</v>
      </c>
      <c r="C30" s="39" t="s">
        <v>95</v>
      </c>
      <c r="D30" s="39" t="s">
        <v>96</v>
      </c>
      <c r="E30" s="39" t="s">
        <v>100</v>
      </c>
      <c r="F30" s="41"/>
      <c r="G30" s="41"/>
    </row>
    <row r="31">
      <c r="B31" s="39" t="s">
        <v>94</v>
      </c>
      <c r="C31" s="39" t="s">
        <v>95</v>
      </c>
      <c r="D31" s="39" t="s">
        <v>96</v>
      </c>
      <c r="E31" s="39" t="s">
        <v>101</v>
      </c>
      <c r="F31" s="41"/>
      <c r="G31" s="41"/>
    </row>
    <row r="32">
      <c r="B32" s="39" t="s">
        <v>94</v>
      </c>
      <c r="C32" s="39" t="s">
        <v>95</v>
      </c>
      <c r="D32" s="39" t="s">
        <v>96</v>
      </c>
      <c r="E32" s="39" t="s">
        <v>101</v>
      </c>
      <c r="F32" s="41"/>
      <c r="G32" s="41"/>
    </row>
    <row r="33">
      <c r="B33" s="39" t="s">
        <v>94</v>
      </c>
      <c r="C33" s="39" t="s">
        <v>95</v>
      </c>
      <c r="D33" s="39" t="s">
        <v>96</v>
      </c>
      <c r="E33" s="39" t="s">
        <v>102</v>
      </c>
      <c r="F33" s="41"/>
      <c r="G33" s="41"/>
    </row>
    <row r="34">
      <c r="B34" s="39" t="s">
        <v>94</v>
      </c>
      <c r="C34" s="39" t="s">
        <v>95</v>
      </c>
      <c r="D34" s="39" t="s">
        <v>96</v>
      </c>
      <c r="E34" s="39" t="s">
        <v>103</v>
      </c>
      <c r="F34" s="41"/>
      <c r="G34" s="41"/>
    </row>
    <row r="35">
      <c r="B35" s="39" t="s">
        <v>94</v>
      </c>
      <c r="C35" s="39" t="s">
        <v>104</v>
      </c>
      <c r="D35" s="39" t="s">
        <v>105</v>
      </c>
      <c r="E35" s="39" t="s">
        <v>106</v>
      </c>
      <c r="F35" s="40" t="s">
        <v>20</v>
      </c>
      <c r="G35" s="41"/>
    </row>
    <row r="36">
      <c r="B36" s="39" t="s">
        <v>94</v>
      </c>
      <c r="C36" s="39" t="s">
        <v>104</v>
      </c>
      <c r="D36" s="39" t="s">
        <v>105</v>
      </c>
      <c r="E36" s="39" t="s">
        <v>107</v>
      </c>
      <c r="F36" s="40" t="s">
        <v>20</v>
      </c>
      <c r="G36" s="41"/>
    </row>
    <row r="37">
      <c r="B37" s="39" t="s">
        <v>94</v>
      </c>
      <c r="C37" s="39" t="s">
        <v>104</v>
      </c>
      <c r="D37" s="39" t="s">
        <v>105</v>
      </c>
      <c r="E37" s="39" t="s">
        <v>108</v>
      </c>
      <c r="F37" s="40" t="s">
        <v>20</v>
      </c>
      <c r="G37" s="41"/>
    </row>
    <row r="38">
      <c r="B38" s="39" t="s">
        <v>94</v>
      </c>
      <c r="C38" s="39" t="s">
        <v>104</v>
      </c>
      <c r="D38" s="39" t="s">
        <v>105</v>
      </c>
      <c r="E38" s="39" t="s">
        <v>109</v>
      </c>
      <c r="F38" s="40" t="s">
        <v>20</v>
      </c>
      <c r="G38" s="41"/>
    </row>
    <row r="39">
      <c r="B39" s="39" t="s">
        <v>94</v>
      </c>
      <c r="C39" s="39" t="s">
        <v>104</v>
      </c>
      <c r="D39" s="39" t="s">
        <v>105</v>
      </c>
      <c r="E39" s="39" t="s">
        <v>110</v>
      </c>
      <c r="F39" s="40" t="s">
        <v>20</v>
      </c>
      <c r="G39" s="41"/>
    </row>
    <row r="40">
      <c r="B40" s="39" t="s">
        <v>111</v>
      </c>
      <c r="C40" s="39" t="s">
        <v>95</v>
      </c>
      <c r="D40" s="39" t="s">
        <v>112</v>
      </c>
      <c r="E40" s="39" t="s">
        <v>97</v>
      </c>
      <c r="F40" s="41"/>
      <c r="G40" s="41"/>
    </row>
    <row r="41">
      <c r="B41" s="39" t="s">
        <v>111</v>
      </c>
      <c r="C41" s="39" t="s">
        <v>95</v>
      </c>
      <c r="D41" s="39" t="s">
        <v>112</v>
      </c>
      <c r="E41" s="39" t="s">
        <v>99</v>
      </c>
      <c r="F41" s="41"/>
      <c r="G41" s="41"/>
    </row>
    <row r="42">
      <c r="B42" s="39" t="s">
        <v>111</v>
      </c>
      <c r="C42" s="39" t="s">
        <v>95</v>
      </c>
      <c r="D42" s="39" t="s">
        <v>112</v>
      </c>
      <c r="E42" s="39" t="s">
        <v>100</v>
      </c>
      <c r="F42" s="41"/>
      <c r="G42" s="41"/>
    </row>
    <row r="43">
      <c r="B43" s="39" t="s">
        <v>111</v>
      </c>
      <c r="C43" s="39" t="s">
        <v>95</v>
      </c>
      <c r="D43" s="39" t="s">
        <v>112</v>
      </c>
      <c r="E43" s="39" t="s">
        <v>101</v>
      </c>
      <c r="F43" s="41"/>
      <c r="G43" s="41"/>
    </row>
    <row r="44">
      <c r="B44" s="39" t="s">
        <v>111</v>
      </c>
      <c r="C44" s="39" t="s">
        <v>95</v>
      </c>
      <c r="D44" s="39" t="s">
        <v>112</v>
      </c>
      <c r="E44" s="39" t="s">
        <v>102</v>
      </c>
      <c r="F44" s="41"/>
      <c r="G44" s="41"/>
    </row>
    <row r="45">
      <c r="B45" s="39" t="s">
        <v>111</v>
      </c>
      <c r="C45" s="39" t="s">
        <v>95</v>
      </c>
      <c r="D45" s="39" t="s">
        <v>112</v>
      </c>
      <c r="E45" s="39" t="s">
        <v>103</v>
      </c>
      <c r="F45" s="41"/>
      <c r="G45" s="41"/>
    </row>
    <row r="46">
      <c r="B46" s="39" t="s">
        <v>113</v>
      </c>
      <c r="C46" s="39" t="s">
        <v>114</v>
      </c>
      <c r="D46" s="39" t="s">
        <v>115</v>
      </c>
      <c r="E46" s="42"/>
      <c r="F46" s="41"/>
      <c r="G46" s="41"/>
    </row>
    <row r="47">
      <c r="B47" s="39" t="s">
        <v>113</v>
      </c>
      <c r="C47" s="39" t="s">
        <v>116</v>
      </c>
      <c r="D47" s="39" t="s">
        <v>117</v>
      </c>
      <c r="E47" s="39" t="s">
        <v>118</v>
      </c>
      <c r="F47" s="41"/>
      <c r="G47" s="41"/>
    </row>
    <row r="48">
      <c r="B48" s="39" t="s">
        <v>113</v>
      </c>
      <c r="C48" s="39" t="s">
        <v>116</v>
      </c>
      <c r="D48" s="39" t="s">
        <v>117</v>
      </c>
      <c r="E48" s="39" t="s">
        <v>119</v>
      </c>
      <c r="F48" s="41"/>
      <c r="G48" s="41"/>
    </row>
    <row r="49">
      <c r="B49" s="39" t="s">
        <v>113</v>
      </c>
      <c r="C49" s="39" t="s">
        <v>116</v>
      </c>
      <c r="D49" s="39" t="s">
        <v>117</v>
      </c>
      <c r="E49" s="39" t="s">
        <v>120</v>
      </c>
      <c r="F49" s="41"/>
      <c r="G49" s="41"/>
    </row>
    <row r="50">
      <c r="B50" s="39" t="s">
        <v>113</v>
      </c>
      <c r="C50" s="39" t="s">
        <v>116</v>
      </c>
      <c r="D50" s="39" t="s">
        <v>117</v>
      </c>
      <c r="E50" s="39" t="s">
        <v>121</v>
      </c>
      <c r="F50" s="41"/>
      <c r="G50" s="41"/>
    </row>
    <row r="51">
      <c r="B51" s="39" t="s">
        <v>113</v>
      </c>
      <c r="C51" s="39" t="s">
        <v>116</v>
      </c>
      <c r="D51" s="39" t="s">
        <v>117</v>
      </c>
      <c r="E51" s="39" t="s">
        <v>89</v>
      </c>
      <c r="F51" s="41"/>
      <c r="G51" s="41"/>
    </row>
    <row r="52">
      <c r="B52" s="39" t="s">
        <v>113</v>
      </c>
      <c r="C52" s="39" t="s">
        <v>116</v>
      </c>
      <c r="D52" s="39" t="s">
        <v>117</v>
      </c>
      <c r="E52" s="39" t="s">
        <v>91</v>
      </c>
      <c r="F52" s="41"/>
      <c r="G52" s="41"/>
    </row>
    <row r="53">
      <c r="B53" s="39" t="s">
        <v>113</v>
      </c>
      <c r="C53" s="39" t="s">
        <v>116</v>
      </c>
      <c r="D53" s="39" t="s">
        <v>117</v>
      </c>
      <c r="E53" s="39" t="s">
        <v>92</v>
      </c>
      <c r="F53" s="41"/>
      <c r="G53" s="41"/>
    </row>
    <row r="54">
      <c r="B54" s="39" t="s">
        <v>113</v>
      </c>
      <c r="C54" s="39" t="s">
        <v>116</v>
      </c>
      <c r="D54" s="39" t="s">
        <v>117</v>
      </c>
      <c r="E54" s="39" t="s">
        <v>93</v>
      </c>
      <c r="F54" s="41"/>
      <c r="G54" s="41"/>
    </row>
    <row r="55">
      <c r="B55" s="39" t="s">
        <v>113</v>
      </c>
      <c r="C55" s="39" t="s">
        <v>116</v>
      </c>
      <c r="D55" s="39" t="s">
        <v>117</v>
      </c>
      <c r="E55" s="39" t="s">
        <v>122</v>
      </c>
      <c r="F55" s="41"/>
      <c r="G55" s="41"/>
    </row>
    <row r="56">
      <c r="B56" s="39" t="s">
        <v>113</v>
      </c>
      <c r="C56" s="39" t="s">
        <v>116</v>
      </c>
      <c r="D56" s="39" t="s">
        <v>117</v>
      </c>
      <c r="E56" s="39" t="s">
        <v>123</v>
      </c>
      <c r="F56" s="41"/>
      <c r="G56" s="41"/>
    </row>
    <row r="57">
      <c r="B57" s="39" t="s">
        <v>113</v>
      </c>
      <c r="C57" s="39" t="s">
        <v>116</v>
      </c>
      <c r="D57" s="39" t="s">
        <v>117</v>
      </c>
      <c r="E57" s="39" t="s">
        <v>124</v>
      </c>
      <c r="F57" s="41"/>
      <c r="G57" s="41"/>
    </row>
    <row r="58">
      <c r="B58" s="39" t="s">
        <v>113</v>
      </c>
      <c r="C58" s="39" t="s">
        <v>116</v>
      </c>
      <c r="D58" s="39" t="s">
        <v>117</v>
      </c>
      <c r="E58" s="39" t="s">
        <v>125</v>
      </c>
      <c r="F58" s="41"/>
      <c r="G58" s="41"/>
    </row>
    <row r="59">
      <c r="B59" s="39" t="s">
        <v>113</v>
      </c>
      <c r="C59" s="39" t="s">
        <v>116</v>
      </c>
      <c r="D59" s="39" t="s">
        <v>117</v>
      </c>
      <c r="E59" s="39" t="s">
        <v>126</v>
      </c>
      <c r="F59" s="41"/>
      <c r="G59" s="41"/>
    </row>
    <row r="60">
      <c r="B60" s="39" t="s">
        <v>113</v>
      </c>
      <c r="C60" s="39" t="s">
        <v>116</v>
      </c>
      <c r="D60" s="39" t="s">
        <v>117</v>
      </c>
      <c r="E60" s="39" t="s">
        <v>127</v>
      </c>
      <c r="F60" s="41"/>
      <c r="G60" s="41"/>
    </row>
    <row r="61">
      <c r="B61" s="39" t="s">
        <v>113</v>
      </c>
      <c r="C61" s="39" t="s">
        <v>116</v>
      </c>
      <c r="D61" s="39" t="s">
        <v>117</v>
      </c>
      <c r="E61" s="39" t="s">
        <v>128</v>
      </c>
      <c r="F61" s="41"/>
      <c r="G61" s="41"/>
    </row>
    <row r="62">
      <c r="F62" s="41"/>
      <c r="G62" s="41"/>
    </row>
    <row r="63">
      <c r="F63" s="41"/>
      <c r="G63" s="41"/>
    </row>
    <row r="64">
      <c r="F64" s="41"/>
      <c r="G64" s="41"/>
    </row>
    <row r="65">
      <c r="F65" s="41"/>
      <c r="G65" s="41"/>
    </row>
    <row r="66">
      <c r="F66" s="41"/>
      <c r="G66" s="41"/>
    </row>
    <row r="67">
      <c r="F67" s="41"/>
      <c r="G67" s="41"/>
    </row>
    <row r="68">
      <c r="F68" s="41"/>
      <c r="G68" s="41"/>
    </row>
    <row r="69">
      <c r="F69" s="41"/>
      <c r="G69" s="41"/>
    </row>
    <row r="70">
      <c r="F70" s="41"/>
      <c r="G70" s="41"/>
    </row>
    <row r="71">
      <c r="F71" s="41"/>
      <c r="G71" s="41"/>
    </row>
    <row r="72">
      <c r="F72" s="41"/>
      <c r="G72" s="41"/>
    </row>
    <row r="73">
      <c r="F73" s="41"/>
      <c r="G73" s="41"/>
    </row>
    <row r="74">
      <c r="F74" s="41"/>
      <c r="G74" s="41"/>
    </row>
    <row r="75">
      <c r="F75" s="41"/>
      <c r="G75" s="41"/>
    </row>
    <row r="76">
      <c r="F76" s="41"/>
      <c r="G76" s="41"/>
    </row>
    <row r="77">
      <c r="F77" s="41"/>
      <c r="G77" s="41"/>
    </row>
    <row r="78">
      <c r="F78" s="41"/>
      <c r="G78" s="41"/>
    </row>
    <row r="79">
      <c r="F79" s="41"/>
      <c r="G79" s="41"/>
    </row>
    <row r="80">
      <c r="F80" s="41"/>
      <c r="G80" s="41"/>
    </row>
    <row r="81">
      <c r="F81" s="41"/>
      <c r="G81" s="41"/>
    </row>
    <row r="82">
      <c r="F82" s="41"/>
      <c r="G82" s="41"/>
    </row>
    <row r="83">
      <c r="F83" s="41"/>
      <c r="G83" s="41"/>
    </row>
    <row r="84">
      <c r="F84" s="41"/>
      <c r="G84" s="41"/>
    </row>
    <row r="85">
      <c r="F85" s="41"/>
      <c r="G85" s="41"/>
    </row>
    <row r="86">
      <c r="F86" s="41"/>
      <c r="G86" s="41"/>
    </row>
    <row r="87">
      <c r="F87" s="41"/>
      <c r="G87" s="41"/>
    </row>
    <row r="88">
      <c r="F88" s="41"/>
      <c r="G88" s="41"/>
    </row>
    <row r="89">
      <c r="F89" s="41"/>
      <c r="G89" s="41"/>
    </row>
    <row r="90">
      <c r="F90" s="41"/>
      <c r="G90" s="41"/>
    </row>
    <row r="91">
      <c r="F91" s="41"/>
      <c r="G91" s="41"/>
    </row>
    <row r="92">
      <c r="F92" s="41"/>
      <c r="G92" s="41"/>
    </row>
    <row r="93">
      <c r="F93" s="41"/>
      <c r="G93" s="41"/>
    </row>
    <row r="94">
      <c r="F94" s="41"/>
      <c r="G94" s="41"/>
    </row>
    <row r="95">
      <c r="F95" s="41"/>
      <c r="G95" s="41"/>
    </row>
    <row r="96">
      <c r="F96" s="41"/>
      <c r="G96" s="41"/>
    </row>
    <row r="97">
      <c r="F97" s="41"/>
      <c r="G97" s="41"/>
    </row>
    <row r="98">
      <c r="F98" s="41"/>
      <c r="G98" s="41"/>
    </row>
    <row r="99">
      <c r="F99" s="41"/>
      <c r="G99" s="41"/>
    </row>
    <row r="100">
      <c r="F100" s="41"/>
      <c r="G100" s="41"/>
    </row>
    <row r="101">
      <c r="F101" s="41"/>
      <c r="G101" s="41"/>
    </row>
    <row r="102">
      <c r="F102" s="41"/>
      <c r="G102" s="41"/>
    </row>
    <row r="103">
      <c r="F103" s="41"/>
      <c r="G103" s="41"/>
    </row>
  </sheetData>
  <mergeCells count="6">
    <mergeCell ref="B1:G1"/>
    <mergeCell ref="C3:G3"/>
    <mergeCell ref="C4:G4"/>
    <mergeCell ref="B5:G5"/>
    <mergeCell ref="B6:G6"/>
    <mergeCell ref="B9:E9"/>
  </mergeCells>
  <dataValidations>
    <dataValidation type="list" allowBlank="1" showErrorMessage="1" sqref="G11:G103">
      <formula1>Refentes!$C$35:$G$44</formula1>
    </dataValidation>
    <dataValidation type="list" allowBlank="1" showErrorMessage="1" sqref="F11:F103">
      <formula1>Refentes!$C$15:$G$24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30" t="s">
        <v>57</v>
      </c>
      <c r="C1" s="31"/>
      <c r="D1" s="31"/>
      <c r="E1" s="31"/>
      <c r="F1" s="31"/>
      <c r="G1" s="32"/>
    </row>
    <row r="2">
      <c r="B2" s="1"/>
      <c r="C2" s="1"/>
      <c r="D2" s="1"/>
      <c r="E2" s="1"/>
      <c r="F2" s="1"/>
      <c r="G2" s="1"/>
    </row>
    <row r="3">
      <c r="B3" s="3" t="s">
        <v>1</v>
      </c>
      <c r="C3" s="28" t="str">
        <f>Refentes!C3</f>
        <v>777 - Organización de Lenguajes y Compiladores 1</v>
      </c>
      <c r="D3" s="5"/>
      <c r="E3" s="5"/>
      <c r="F3" s="5"/>
      <c r="G3" s="6"/>
    </row>
    <row r="4">
      <c r="B4" s="3" t="s">
        <v>3</v>
      </c>
      <c r="C4" s="7" t="str">
        <f>Refentes!C4</f>
        <v>Segundo Semestre 2026</v>
      </c>
      <c r="D4" s="5"/>
      <c r="E4" s="5"/>
      <c r="F4" s="5"/>
      <c r="G4" s="6"/>
    </row>
    <row r="5">
      <c r="B5" s="35" t="s">
        <v>59</v>
      </c>
    </row>
    <row r="7">
      <c r="B7" s="43" t="s">
        <v>129</v>
      </c>
      <c r="E7" s="44" t="s">
        <v>130</v>
      </c>
    </row>
    <row r="8">
      <c r="B8" s="25" t="s">
        <v>131</v>
      </c>
      <c r="E8" s="40" t="s">
        <v>49</v>
      </c>
    </row>
    <row r="9">
      <c r="B9" s="25" t="s">
        <v>132</v>
      </c>
      <c r="E9" s="40" t="s">
        <v>51</v>
      </c>
    </row>
    <row r="10">
      <c r="B10" s="25" t="s">
        <v>133</v>
      </c>
      <c r="E10" s="40" t="s">
        <v>53</v>
      </c>
    </row>
    <row r="11">
      <c r="B11" s="25" t="s">
        <v>134</v>
      </c>
      <c r="E11" s="40" t="s">
        <v>55</v>
      </c>
    </row>
    <row r="12">
      <c r="B12" s="25" t="s">
        <v>135</v>
      </c>
      <c r="E12" s="40" t="s">
        <v>53</v>
      </c>
    </row>
    <row r="13">
      <c r="E13" s="41"/>
    </row>
    <row r="14">
      <c r="E14" s="41"/>
    </row>
    <row r="15">
      <c r="E15" s="41"/>
    </row>
    <row r="16">
      <c r="E16" s="41"/>
    </row>
    <row r="18">
      <c r="B18" s="45" t="s">
        <v>136</v>
      </c>
    </row>
  </sheetData>
  <mergeCells count="23">
    <mergeCell ref="B8:D8"/>
    <mergeCell ref="B9:D9"/>
    <mergeCell ref="B10:D10"/>
    <mergeCell ref="B12:D12"/>
    <mergeCell ref="B13:D13"/>
    <mergeCell ref="B14:D14"/>
    <mergeCell ref="B15:D15"/>
    <mergeCell ref="B16:D16"/>
    <mergeCell ref="E9:G9"/>
    <mergeCell ref="E10:G10"/>
    <mergeCell ref="E11:G11"/>
    <mergeCell ref="E12:G12"/>
    <mergeCell ref="E13:G13"/>
    <mergeCell ref="E14:G14"/>
    <mergeCell ref="E15:G15"/>
    <mergeCell ref="E16:G16"/>
    <mergeCell ref="B1:G1"/>
    <mergeCell ref="C3:G3"/>
    <mergeCell ref="C4:G4"/>
    <mergeCell ref="B5:G5"/>
    <mergeCell ref="B7:D7"/>
    <mergeCell ref="E7:G7"/>
    <mergeCell ref="E8:G8"/>
  </mergeCells>
  <dataValidations>
    <dataValidation type="list" allowBlank="1" showErrorMessage="1" sqref="E8:E16">
      <formula1>Refentes!$C$50:$G$59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137</v>
      </c>
    </row>
    <row r="2">
      <c r="A2" s="1" t="s">
        <v>138</v>
      </c>
    </row>
    <row r="3">
      <c r="A3" s="1" t="s">
        <v>139</v>
      </c>
    </row>
    <row r="4">
      <c r="A4" s="1" t="s">
        <v>140</v>
      </c>
    </row>
    <row r="5">
      <c r="A5" s="1" t="s">
        <v>141</v>
      </c>
    </row>
    <row r="6">
      <c r="A6" s="1" t="s">
        <v>142</v>
      </c>
    </row>
    <row r="7">
      <c r="A7" s="1" t="s">
        <v>143</v>
      </c>
    </row>
    <row r="8">
      <c r="A8" s="1" t="s">
        <v>144</v>
      </c>
    </row>
    <row r="9">
      <c r="A9" s="1" t="s">
        <v>145</v>
      </c>
    </row>
    <row r="10">
      <c r="A10" s="1" t="s">
        <v>146</v>
      </c>
    </row>
    <row r="11">
      <c r="A11" s="1" t="s">
        <v>147</v>
      </c>
    </row>
    <row r="12">
      <c r="A12" s="1" t="s">
        <v>148</v>
      </c>
    </row>
    <row r="13">
      <c r="A13" s="1" t="s">
        <v>149</v>
      </c>
    </row>
    <row r="14">
      <c r="A14" s="1" t="s">
        <v>150</v>
      </c>
    </row>
    <row r="15">
      <c r="A15" s="1" t="s">
        <v>151</v>
      </c>
    </row>
    <row r="16">
      <c r="A16" s="1" t="s">
        <v>152</v>
      </c>
    </row>
    <row r="17">
      <c r="A17" s="1" t="s">
        <v>153</v>
      </c>
    </row>
    <row r="18">
      <c r="A18" s="1" t="s">
        <v>154</v>
      </c>
    </row>
    <row r="19">
      <c r="A19" s="1" t="s">
        <v>155</v>
      </c>
    </row>
    <row r="20">
      <c r="A20" s="1" t="s">
        <v>156</v>
      </c>
    </row>
    <row r="21">
      <c r="A21" s="1" t="s">
        <v>157</v>
      </c>
    </row>
    <row r="22">
      <c r="A22" s="1" t="s">
        <v>158</v>
      </c>
    </row>
    <row r="23">
      <c r="A23" s="1" t="s">
        <v>159</v>
      </c>
    </row>
    <row r="24">
      <c r="A24" s="1" t="s">
        <v>160</v>
      </c>
    </row>
    <row r="25">
      <c r="A25" s="1" t="s">
        <v>161</v>
      </c>
    </row>
    <row r="26">
      <c r="A26" s="1" t="s">
        <v>162</v>
      </c>
    </row>
    <row r="27">
      <c r="A27" s="1" t="s">
        <v>163</v>
      </c>
    </row>
    <row r="28">
      <c r="A28" s="1" t="s">
        <v>164</v>
      </c>
    </row>
    <row r="29">
      <c r="A29" s="1" t="s">
        <v>2</v>
      </c>
    </row>
    <row r="30">
      <c r="A30" s="1" t="s">
        <v>165</v>
      </c>
    </row>
    <row r="31">
      <c r="A31" s="1" t="s">
        <v>166</v>
      </c>
    </row>
    <row r="32">
      <c r="A32" s="1" t="s">
        <v>167</v>
      </c>
    </row>
    <row r="33">
      <c r="A33" s="1" t="s">
        <v>168</v>
      </c>
    </row>
    <row r="34">
      <c r="A34" s="1" t="s">
        <v>169</v>
      </c>
    </row>
    <row r="35">
      <c r="A35" s="1" t="s">
        <v>170</v>
      </c>
    </row>
    <row r="36">
      <c r="A36" s="1" t="s">
        <v>171</v>
      </c>
    </row>
    <row r="37">
      <c r="A37" s="1" t="s">
        <v>172</v>
      </c>
    </row>
    <row r="38">
      <c r="A38" s="1" t="s">
        <v>173</v>
      </c>
    </row>
    <row r="39">
      <c r="A39" s="1" t="s">
        <v>174</v>
      </c>
    </row>
    <row r="40">
      <c r="A40" s="1" t="s">
        <v>175</v>
      </c>
    </row>
    <row r="41">
      <c r="A41" s="1" t="s">
        <v>176</v>
      </c>
    </row>
    <row r="42">
      <c r="A42" s="1" t="s">
        <v>177</v>
      </c>
    </row>
    <row r="43">
      <c r="A43" s="1" t="s">
        <v>178</v>
      </c>
    </row>
    <row r="44">
      <c r="A44" s="1" t="s">
        <v>179</v>
      </c>
    </row>
    <row r="45">
      <c r="A45" s="1" t="s">
        <v>180</v>
      </c>
    </row>
    <row r="46">
      <c r="A46" s="1" t="s">
        <v>181</v>
      </c>
    </row>
    <row r="47">
      <c r="A47" s="1" t="s">
        <v>182</v>
      </c>
    </row>
    <row r="48">
      <c r="A48" s="1" t="s">
        <v>183</v>
      </c>
    </row>
    <row r="49">
      <c r="A49" s="1" t="s">
        <v>184</v>
      </c>
    </row>
    <row r="50">
      <c r="A50" s="1" t="s">
        <v>185</v>
      </c>
    </row>
    <row r="51">
      <c r="A51" s="1" t="s">
        <v>186</v>
      </c>
    </row>
    <row r="52">
      <c r="A52" s="1" t="s">
        <v>187</v>
      </c>
    </row>
    <row r="53">
      <c r="A53" s="1" t="s">
        <v>188</v>
      </c>
    </row>
    <row r="54">
      <c r="A54" s="1" t="s">
        <v>189</v>
      </c>
    </row>
    <row r="55">
      <c r="A55" s="1" t="s">
        <v>190</v>
      </c>
    </row>
    <row r="56">
      <c r="A56" s="1" t="s">
        <v>191</v>
      </c>
    </row>
    <row r="57">
      <c r="A57" s="1" t="s">
        <v>192</v>
      </c>
    </row>
    <row r="58">
      <c r="A58" s="1" t="s">
        <v>193</v>
      </c>
    </row>
    <row r="59">
      <c r="A59" s="1" t="s">
        <v>194</v>
      </c>
    </row>
    <row r="60">
      <c r="A60" s="1" t="s">
        <v>195</v>
      </c>
    </row>
    <row r="61">
      <c r="A61" s="1" t="s">
        <v>196</v>
      </c>
    </row>
    <row r="62">
      <c r="A62" s="1" t="s">
        <v>197</v>
      </c>
    </row>
    <row r="63">
      <c r="A63" s="1" t="s">
        <v>198</v>
      </c>
    </row>
    <row r="64">
      <c r="A64" s="1" t="s">
        <v>199</v>
      </c>
    </row>
    <row r="65">
      <c r="A65" s="1" t="s">
        <v>200</v>
      </c>
    </row>
    <row r="66">
      <c r="A66" s="1" t="s">
        <v>201</v>
      </c>
    </row>
    <row r="67">
      <c r="A67" s="1" t="s">
        <v>202</v>
      </c>
    </row>
    <row r="68">
      <c r="A68" s="1" t="s">
        <v>203</v>
      </c>
    </row>
    <row r="69">
      <c r="A69" s="1" t="s">
        <v>204</v>
      </c>
    </row>
    <row r="70">
      <c r="A70" s="1" t="s">
        <v>205</v>
      </c>
    </row>
    <row r="71">
      <c r="A71" s="1" t="s">
        <v>206</v>
      </c>
    </row>
    <row r="72">
      <c r="A72" s="1" t="s">
        <v>207</v>
      </c>
    </row>
    <row r="73">
      <c r="A73" s="1" t="s">
        <v>208</v>
      </c>
    </row>
    <row r="74">
      <c r="A74" s="1" t="s">
        <v>209</v>
      </c>
    </row>
    <row r="75">
      <c r="A75" s="1" t="s">
        <v>210</v>
      </c>
    </row>
    <row r="76">
      <c r="A76" s="1" t="s">
        <v>211</v>
      </c>
    </row>
    <row r="77">
      <c r="A77" s="1" t="s">
        <v>212</v>
      </c>
    </row>
    <row r="78">
      <c r="A78" s="1" t="s">
        <v>213</v>
      </c>
    </row>
    <row r="79">
      <c r="A79" s="1" t="s">
        <v>214</v>
      </c>
    </row>
    <row r="80">
      <c r="A80" s="1" t="s">
        <v>215</v>
      </c>
    </row>
    <row r="81">
      <c r="A81" s="1" t="s">
        <v>216</v>
      </c>
    </row>
  </sheetData>
  <drawing r:id="rId1"/>
</worksheet>
</file>